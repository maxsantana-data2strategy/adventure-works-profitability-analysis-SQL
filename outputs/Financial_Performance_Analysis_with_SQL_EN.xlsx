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calcId="124519" fullCalcOnLoad="1"/>
</workbook>
</file>

<file path=xl/styles.xml><?xml version="1.0" encoding="utf-8"?>
<styleSheet xmlns="http://schemas.openxmlformats.org/spreadsheetml/2006/main">
  <numFmts count="1">
    <numFmt numFmtId="164" formatCode="&quot;$&quot;#,##0.00"/>
  </numFmts>
  <fonts count="6">
    <font>
      <name val="Arial"/>
      <color rgb="FF000000"/>
      <sz val="10"/>
      <scheme val="minor"/>
    </font>
    <font>
      <name val="Arial"/>
      <b val="1"/>
      <color theme="1"/>
      <scheme val="minor"/>
    </font>
    <font>
      <name val="Arial"/>
      <color theme="1"/>
      <scheme val="minor"/>
    </font>
    <font>
      <name val="Arial"/>
      <b val="1"/>
      <color rgb="FFFFFFFF"/>
      <scheme val="minor"/>
    </font>
    <font/>
    <font>
      <name val="Arial"/>
      <color theme="1"/>
      <sz val="7"/>
      <scheme val="minor"/>
    </font>
  </fonts>
  <fills count="6">
    <fill>
      <patternFill/>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numFmtId="0" fontId="0" fillId="0" borderId="0"/>
  </cellStyleXfs>
  <cellXfs count="40">
    <xf numFmtId="0" fontId="0" fillId="0" borderId="0" applyAlignment="1" pivotButton="0" quotePrefix="0" xfId="0">
      <alignment vertical="bottom"/>
    </xf>
    <xf numFmtId="0" fontId="1" fillId="2" borderId="0" applyAlignment="1" pivotButton="0" quotePrefix="0" xfId="0">
      <alignment horizontal="center"/>
    </xf>
    <xf numFmtId="0" fontId="2" fillId="2" borderId="0" pivotButton="0" quotePrefix="0" xfId="0"/>
    <xf numFmtId="0" fontId="1" fillId="0" borderId="0" applyAlignment="1" pivotButton="0" quotePrefix="0" xfId="0">
      <alignment horizontal="center" vertical="center"/>
    </xf>
    <xf numFmtId="0" fontId="3" fillId="3" borderId="1" applyAlignment="1" pivotButton="0" quotePrefix="0" xfId="0">
      <alignment horizontal="center" vertical="center"/>
    </xf>
    <xf numFmtId="0" fontId="4" fillId="0" borderId="2" pivotButton="0" quotePrefix="0" xfId="0"/>
    <xf numFmtId="0" fontId="4" fillId="0" borderId="3" pivotButton="0" quotePrefix="0" xfId="0"/>
    <xf numFmtId="0" fontId="2"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10" fontId="2" fillId="0" borderId="0" applyAlignment="1" pivotButton="0" quotePrefix="0" xfId="0">
      <alignment vertical="center"/>
    </xf>
    <xf numFmtId="10" fontId="2" fillId="0" borderId="0" applyAlignment="1" pivotButton="0" quotePrefix="0" xfId="0">
      <alignment vertical="center"/>
    </xf>
    <xf numFmtId="0" fontId="1" fillId="4" borderId="4" applyAlignment="1" pivotButton="0" quotePrefix="0" xfId="0">
      <alignment horizontal="right" vertical="center"/>
    </xf>
    <xf numFmtId="0" fontId="2" fillId="4" borderId="0" applyAlignment="1" pivotButton="0" quotePrefix="0" xfId="0">
      <alignment horizontal="right" vertical="center"/>
    </xf>
    <xf numFmtId="0" fontId="2" fillId="4" borderId="5" applyAlignment="1" pivotButton="0" quotePrefix="0" xfId="0">
      <alignment horizontal="right" vertical="center"/>
    </xf>
    <xf numFmtId="0" fontId="2" fillId="2" borderId="0" applyAlignment="1" pivotButton="0" quotePrefix="0" xfId="0">
      <alignment horizontal="right" vertical="center"/>
    </xf>
    <xf numFmtId="0" fontId="5" fillId="5" borderId="4" applyAlignment="1" pivotButton="0" quotePrefix="0" xfId="0">
      <alignment horizontal="right" vertical="center" wrapText="1"/>
    </xf>
    <xf numFmtId="0" fontId="4" fillId="0" borderId="5" pivotButton="0" quotePrefix="0" xfId="0"/>
    <xf numFmtId="0" fontId="4" fillId="0" borderId="4" pivotButton="0" quotePrefix="0" xfId="0"/>
    <xf numFmtId="0" fontId="2" fillId="5" borderId="4" applyAlignment="1" pivotButton="0" quotePrefix="0" xfId="0">
      <alignment horizontal="left" vertical="top" wrapText="1"/>
    </xf>
    <xf numFmtId="0" fontId="1" fillId="4" borderId="1" applyAlignment="1" pivotButton="0" quotePrefix="0" xfId="0">
      <alignment horizontal="left" vertical="center"/>
    </xf>
    <xf numFmtId="0" fontId="1" fillId="4" borderId="4" applyAlignment="1" pivotButton="0" quotePrefix="0" xfId="0">
      <alignment horizontal="left" vertical="center"/>
    </xf>
    <xf numFmtId="0" fontId="2" fillId="5" borderId="6" applyAlignment="1" pivotButton="0" quotePrefix="0" xfId="0">
      <alignment horizontal="left" vertical="top" wrapText="1"/>
    </xf>
    <xf numFmtId="0" fontId="4" fillId="0" borderId="7" pivotButton="0" quotePrefix="0" xfId="0"/>
    <xf numFmtId="0" fontId="4" fillId="0" borderId="8" pivotButton="0" quotePrefix="0" xfId="0"/>
    <xf numFmtId="0" fontId="4" fillId="0" borderId="6" pivotButton="0" quotePrefix="0" xfId="0"/>
    <xf numFmtId="0" fontId="0" fillId="0" borderId="0" pivotButton="0" quotePrefix="0" xfId="0"/>
    <xf numFmtId="0" fontId="3" fillId="3" borderId="11" applyAlignment="1" pivotButton="0" quotePrefix="0" xfId="0">
      <alignment horizontal="center" vertical="center"/>
    </xf>
    <xf numFmtId="0" fontId="0" fillId="0" borderId="2" pivotButton="0" quotePrefix="0" xfId="0"/>
    <xf numFmtId="0" fontId="0" fillId="0" borderId="3" pivotButton="0" quotePrefix="0" xfId="0"/>
    <xf numFmtId="0" fontId="5" fillId="5" borderId="9" applyAlignment="1" pivotButton="0" quotePrefix="0" xfId="0">
      <alignment horizontal="right" vertical="center" wrapText="1"/>
    </xf>
    <xf numFmtId="0" fontId="0" fillId="0" borderId="5" pivotButton="0" quotePrefix="0" xfId="0"/>
    <xf numFmtId="0" fontId="0" fillId="0" borderId="4" pivotButton="0" quotePrefix="0" xfId="0"/>
    <xf numFmtId="0" fontId="2" fillId="5" borderId="9" applyAlignment="1" pivotButton="0" quotePrefix="0" xfId="0">
      <alignment horizontal="left" vertical="top" wrapText="1"/>
    </xf>
    <xf numFmtId="0" fontId="1" fillId="4" borderId="11" applyAlignment="1" pivotButton="0" quotePrefix="0" xfId="0">
      <alignment horizontal="left" vertical="center"/>
    </xf>
    <xf numFmtId="0" fontId="1" fillId="4" borderId="9" applyAlignment="1" pivotButton="0" quotePrefix="0" xfId="0">
      <alignment horizontal="left" vertical="center"/>
    </xf>
    <xf numFmtId="0" fontId="2" fillId="5" borderId="10" applyAlignment="1" pivotButton="0" quotePrefix="0" xfId="0">
      <alignment horizontal="left" vertical="top" wrapText="1"/>
    </xf>
    <xf numFmtId="0" fontId="0" fillId="0" borderId="7" pivotButton="0" quotePrefix="0" xfId="0"/>
    <xf numFmtId="0" fontId="0" fillId="0" borderId="8" pivotButton="0" quotePrefix="0" xfId="0"/>
    <xf numFmtId="0" fontId="0" fillId="0" borderId="6"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ashboard-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B2:I8" headerRowCount="1">
  <tableColumns count="8">
    <tableColumn id="1" name="Pais"/>
    <tableColumn id="2" name="ClaveTerritorio"/>
    <tableColumn id="3" name="ingresos"/>
    <tableColumn id="4" name="costos"/>
    <tableColumn id="5" name="CostoCampanas"/>
    <tableColumn id="6" name="BeneficioBruto"/>
    <tableColumn id="7" name="Margen_pct"/>
    <tableColumn id="8" name="ROI_pct"/>
  </tableColumns>
  <tableStyleInfo name="Dashboard-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6D9EEB"/>
    <outlinePr summaryBelow="0" summaryRight="0"/>
    <pageSetUpPr/>
  </sheetPr>
  <dimension ref="A1:N18"/>
  <sheetViews>
    <sheetView showGridLines="0" workbookViewId="0">
      <selection activeCell="A1" sqref="A1"/>
    </sheetView>
  </sheetViews>
  <sheetFormatPr baseColWidth="8" defaultColWidth="12.63" defaultRowHeight="15.75" customHeight="1"/>
  <cols>
    <col width="2.38" customWidth="1" style="26" min="1" max="1"/>
    <col width="17.75" customWidth="1" style="26" min="2" max="2"/>
    <col width="16.63" customWidth="1" style="26" min="3" max="3"/>
    <col width="15.25" customWidth="1" style="26" min="4" max="4"/>
    <col width="13.75" customWidth="1" style="26" min="5" max="5"/>
    <col width="21" customWidth="1" style="26" min="6" max="6"/>
    <col width="19.88" customWidth="1" style="26" min="7" max="7"/>
    <col width="17.63" customWidth="1" style="26" min="8" max="8"/>
    <col width="14.5" customWidth="1" style="26" min="9" max="9"/>
    <col width="2.38" customWidth="1" style="26" min="10" max="10"/>
    <col width="12" customWidth="1" style="26" min="11" max="12"/>
    <col width="80.13" customWidth="1" style="26" min="13" max="13"/>
    <col width="2.38" customWidth="1" style="26" min="14" max="14"/>
  </cols>
  <sheetData>
    <row r="1">
      <c r="A1" s="1" t="n"/>
      <c r="B1" s="1" t="n"/>
      <c r="C1" s="1" t="n"/>
      <c r="D1" s="1" t="n"/>
      <c r="E1" s="2" t="n"/>
      <c r="F1" s="1" t="n"/>
      <c r="G1" s="1" t="n"/>
      <c r="H1" s="1" t="n"/>
      <c r="I1" s="2" t="n"/>
      <c r="J1" s="2" t="n"/>
      <c r="K1" s="1" t="n"/>
      <c r="L1" s="1" t="n"/>
      <c r="M1" s="1" t="n"/>
      <c r="N1" s="2" t="n"/>
    </row>
    <row r="2" ht="22.5" customHeight="1" s="26">
      <c r="A2" s="2" t="n"/>
      <c r="B2" s="3" t="inlineStr">
        <is>
          <t>Country</t>
        </is>
      </c>
      <c r="C2" s="3" t="inlineStr">
        <is>
          <t>TerritoryKey</t>
        </is>
      </c>
      <c r="D2" s="3" t="inlineStr">
        <is>
          <t>Revenue</t>
        </is>
      </c>
      <c r="E2" s="3" t="inlineStr">
        <is>
          <t>Costs</t>
        </is>
      </c>
      <c r="F2" s="3" t="inlineStr">
        <is>
          <t>CampaignCost</t>
        </is>
      </c>
      <c r="G2" s="3" t="inlineStr">
        <is>
          <t>GrossProfit</t>
        </is>
      </c>
      <c r="H2" s="3" t="inlineStr">
        <is>
          <t>Margin_pct</t>
        </is>
      </c>
      <c r="I2" s="3" t="inlineStr">
        <is>
          <t>ROI_pct</t>
        </is>
      </c>
      <c r="J2" s="2" t="n"/>
      <c r="K2" s="27" t="inlineStr">
        <is>
          <t>INSIGHT C-F-I</t>
        </is>
      </c>
      <c r="L2" s="28" t="n"/>
      <c r="M2" s="29" t="n"/>
      <c r="N2" s="2" t="n"/>
    </row>
    <row r="3" ht="19.5" customHeight="1" s="26">
      <c r="A3" s="2" t="n"/>
      <c r="B3" s="8" t="inlineStr">
        <is>
          <t>United States</t>
        </is>
      </c>
      <c r="C3" s="8" t="n">
        <v>1</v>
      </c>
      <c r="D3" s="9" t="n">
        <v>3353939.92</v>
      </c>
      <c r="E3" s="9" t="n">
        <v>1899471.33</v>
      </c>
      <c r="F3" s="9" t="n">
        <v>1920000</v>
      </c>
      <c r="G3" s="9" t="n">
        <v>1454468.6</v>
      </c>
      <c r="H3" s="11" t="n">
        <v>0.4337</v>
      </c>
      <c r="I3" s="11" t="n">
        <v>0.7575</v>
      </c>
      <c r="J3" s="2" t="n"/>
      <c r="K3" s="12" t="inlineStr">
        <is>
          <t>Context:</t>
        </is>
      </c>
      <c r="L3" s="13" t="n"/>
      <c r="M3" s="14" t="n"/>
      <c r="N3" s="2" t="n"/>
    </row>
    <row r="4" ht="19.5" customHeight="1" s="26">
      <c r="A4" s="15" t="n"/>
      <c r="B4" s="8" t="inlineStr">
        <is>
          <t>Australia</t>
        </is>
      </c>
      <c r="C4" s="8" t="n">
        <v>9</v>
      </c>
      <c r="D4" s="9" t="n">
        <v>2532003.49</v>
      </c>
      <c r="E4" s="9" t="n">
        <v>1474958.18</v>
      </c>
      <c r="F4" s="9" t="n">
        <v>2150400</v>
      </c>
      <c r="G4" s="9" t="n">
        <v>1057045.31</v>
      </c>
      <c r="H4" s="11" t="n">
        <v>0.4175</v>
      </c>
      <c r="I4" s="11" t="n">
        <v>0.4916</v>
      </c>
      <c r="J4" s="15" t="n"/>
      <c r="K4" s="30" t="inlineStr">
        <is>
          <t xml:space="preserve">AdventureWorks needed to understand its financial performance by market to make marketing investment decisions. Using 2017 sales, product, territory, and campaign data, the goal was to identify which countries generate the most revenue and which are the most profitable. To achieve this, key indicators such as gross profit, margin, and ROI were calculated by territory. The results are presented in an executive report that delivers insights on what to prioritize and where to invest the next marketing dollar.
</t>
        </is>
      </c>
      <c r="M4" s="31" t="n"/>
      <c r="N4" s="15" t="n"/>
    </row>
    <row r="5" ht="19.5" customHeight="1" s="26">
      <c r="A5" s="2" t="n"/>
      <c r="B5" s="8" t="inlineStr">
        <is>
          <t>United Kingdom</t>
        </is>
      </c>
      <c r="C5" s="8" t="n">
        <v>10</v>
      </c>
      <c r="D5" s="9" t="n">
        <v>1189636.78</v>
      </c>
      <c r="E5" s="9" t="n">
        <v>681508.55</v>
      </c>
      <c r="F5" s="9" t="n">
        <v>2304000</v>
      </c>
      <c r="G5" s="9" t="n">
        <v>508128.24</v>
      </c>
      <c r="H5" s="11" t="n">
        <v>0.4271</v>
      </c>
      <c r="I5" s="11" t="n">
        <v>0.2205</v>
      </c>
      <c r="J5" s="2" t="n"/>
      <c r="K5" s="32" t="n"/>
      <c r="M5" s="31" t="n"/>
      <c r="N5" s="2" t="n"/>
    </row>
    <row r="6" ht="19.5" customHeight="1" s="26">
      <c r="A6" s="2" t="n"/>
      <c r="B6" s="8" t="inlineStr">
        <is>
          <t>Germany</t>
        </is>
      </c>
      <c r="C6" s="8" t="n">
        <v>8</v>
      </c>
      <c r="D6" s="9" t="n">
        <v>1071460.42</v>
      </c>
      <c r="E6" s="9" t="n">
        <v>611295.36</v>
      </c>
      <c r="F6" s="9" t="n">
        <v>2265600</v>
      </c>
      <c r="G6" s="9" t="n">
        <v>460165.06</v>
      </c>
      <c r="H6" s="11" t="n">
        <v>0.4295</v>
      </c>
      <c r="I6" s="11" t="n">
        <v>0.2031</v>
      </c>
      <c r="J6" s="2" t="n"/>
      <c r="K6" s="12" t="inlineStr">
        <is>
          <t>Findings</t>
        </is>
      </c>
      <c r="L6" s="13" t="n"/>
      <c r="M6" s="14" t="n"/>
      <c r="N6" s="2" t="n"/>
    </row>
    <row r="7" ht="19.5" customHeight="1" s="26">
      <c r="A7" s="15" t="n"/>
      <c r="B7" s="8" t="inlineStr">
        <is>
          <t>France</t>
        </is>
      </c>
      <c r="C7" s="8" t="n">
        <v>7</v>
      </c>
      <c r="D7" s="9" t="n">
        <v>924316.9300000001</v>
      </c>
      <c r="E7" s="9" t="n">
        <v>527797.14</v>
      </c>
      <c r="F7" s="9" t="n">
        <v>2208000</v>
      </c>
      <c r="G7" s="9" t="n">
        <v>396519.79</v>
      </c>
      <c r="H7" s="11" t="n">
        <v>0.429</v>
      </c>
      <c r="I7" s="11" t="n">
        <v>0.1796</v>
      </c>
      <c r="J7" s="15" t="n"/>
      <c r="K7" s="33" t="inlineStr">
        <is>
          <t>1) The United States had a ROI of +75.75%, the highest of all territories analyzed.</t>
        </is>
      </c>
      <c r="M7" s="31" t="n"/>
      <c r="N7" s="15" t="n"/>
    </row>
    <row r="8" ht="19.5" customHeight="1" s="26">
      <c r="A8" s="2" t="n"/>
      <c r="B8" s="8" t="inlineStr">
        <is>
          <t>Canada</t>
        </is>
      </c>
      <c r="C8" s="8" t="n">
        <v>6</v>
      </c>
      <c r="D8" s="9" t="n">
        <v>710205.1800000001</v>
      </c>
      <c r="E8" s="9" t="n">
        <v>392325.91</v>
      </c>
      <c r="F8" s="9" t="n">
        <v>1824000</v>
      </c>
      <c r="G8" s="9" t="n">
        <v>317879.27</v>
      </c>
      <c r="H8" s="11" t="n">
        <v>0.4476</v>
      </c>
      <c r="I8" s="11" t="n">
        <v>0.1743</v>
      </c>
      <c r="J8" s="2" t="n"/>
      <c r="K8" s="32" t="n"/>
      <c r="M8" s="31" t="n"/>
      <c r="N8" s="2" t="n"/>
    </row>
    <row r="9" ht="19.5" customHeight="1" s="26">
      <c r="A9" s="2" t="n"/>
      <c r="B9" s="2" t="n"/>
      <c r="C9" s="2" t="n"/>
      <c r="D9" s="2" t="n"/>
      <c r="E9" s="2" t="n"/>
      <c r="F9" s="2" t="n"/>
      <c r="G9" s="2" t="n"/>
      <c r="H9" s="2" t="n"/>
      <c r="I9" s="2" t="n"/>
      <c r="J9" s="2" t="n"/>
      <c r="K9" s="33" t="inlineStr">
        <is>
          <t>2) Canada had the highest margin of the 6 territories (+44.76%), highlighting the profitability of each successful sale.</t>
        </is>
      </c>
      <c r="M9" s="31" t="n"/>
      <c r="N9" s="2" t="n"/>
    </row>
    <row r="10" ht="19.5" customHeight="1" s="26">
      <c r="A10" s="2" t="n"/>
      <c r="B10" s="34" t="inlineStr">
        <is>
          <t>What is the difference between Margin and ROI?</t>
        </is>
      </c>
      <c r="C10" s="28" t="n"/>
      <c r="D10" s="28" t="n"/>
      <c r="E10" s="28" t="n"/>
      <c r="F10" s="28" t="n"/>
      <c r="G10" s="28" t="n"/>
      <c r="H10" s="28" t="n"/>
      <c r="I10" s="29" t="n"/>
      <c r="J10" s="2" t="n"/>
      <c r="K10" s="32" t="n"/>
      <c r="M10" s="31" t="n"/>
      <c r="N10" s="2" t="n"/>
    </row>
    <row r="11">
      <c r="A11" s="2" t="n"/>
      <c r="B11" s="33" t="inlineStr">
        <is>
          <t>1) In this case, Margin measures operational efficiency excluding campaign investment (revenue - costs); ROI, on the other hand, measures the efficiency of the marketing investment (return vs. campaign spend).</t>
        </is>
      </c>
      <c r="I11" s="31" t="n"/>
      <c r="J11" s="2" t="n"/>
      <c r="K11" s="33" t="inlineStr">
        <is>
          <t>3) The highest campaign cost was for the United Kingdom at $2.3 million, which translated into a moderate ROI of just 22.05%.</t>
        </is>
      </c>
      <c r="M11" s="31" t="n"/>
      <c r="N11" s="2" t="n"/>
    </row>
    <row r="12" ht="19.5" customHeight="1" s="26">
      <c r="A12" s="2" t="n"/>
      <c r="B12" s="35" t="inlineStr">
        <is>
          <t>Why is the ROI in the United States so high compared to other countries?</t>
        </is>
      </c>
      <c r="I12" s="31" t="n"/>
      <c r="J12" s="2" t="n"/>
      <c r="K12" s="32" t="n"/>
      <c r="M12" s="31" t="n"/>
      <c r="N12" s="2" t="n"/>
    </row>
    <row r="13" ht="19.5" customHeight="1" s="26">
      <c r="A13" s="2" t="n"/>
      <c r="B13" s="33" t="inlineStr">
        <is>
          <t>1) Because the US has one of the lowest campaign costs while also having one of the highest revenues.</t>
        </is>
      </c>
      <c r="I13" s="31" t="n"/>
      <c r="J13" s="2" t="n"/>
      <c r="K13" s="12" t="inlineStr">
        <is>
          <t>Implication</t>
        </is>
      </c>
      <c r="L13" s="13" t="n"/>
      <c r="M13" s="14" t="n"/>
      <c r="N13" s="2" t="n"/>
    </row>
    <row r="14" ht="19.5" customHeight="1" s="26">
      <c r="A14" s="15" t="n"/>
      <c r="B14" s="35" t="inlineStr">
        <is>
          <t>If we increased campaign spend by 50%, what would happen to ROI?</t>
        </is>
      </c>
      <c r="I14" s="31" t="n"/>
      <c r="J14" s="15" t="n"/>
      <c r="K14" s="33" t="inlineStr">
        <is>
          <t>1) Prioritize marketing campaign investment in the US and Canada markets, where ROI and profit margin, respectively, are the highest.</t>
        </is>
      </c>
      <c r="M14" s="31" t="n"/>
      <c r="N14" s="15" t="n"/>
    </row>
    <row r="15">
      <c r="A15" s="15" t="n"/>
      <c r="B15" s="36" t="inlineStr">
        <is>
          <t>1) Holding everything else constant (i.e., assuming revenue does not change), ROI would decrease because campaign costs have increased, thereby reducing the return.</t>
        </is>
      </c>
      <c r="C15" s="37" t="n"/>
      <c r="D15" s="37" t="n"/>
      <c r="E15" s="37" t="n"/>
      <c r="F15" s="37" t="n"/>
      <c r="G15" s="37" t="n"/>
      <c r="H15" s="37" t="n"/>
      <c r="I15" s="38" t="n"/>
      <c r="J15" s="15" t="n"/>
      <c r="K15" s="32" t="n"/>
      <c r="M15" s="31" t="n"/>
      <c r="N15" s="15" t="n"/>
    </row>
    <row r="16" ht="19.5" customHeight="1" s="26">
      <c r="A16" s="2" t="n"/>
      <c r="B16" s="2" t="n"/>
      <c r="C16" s="2" t="n"/>
      <c r="D16" s="2" t="n"/>
      <c r="E16" s="2" t="n"/>
      <c r="F16" s="2" t="n"/>
      <c r="G16" s="2" t="n"/>
      <c r="H16" s="2" t="n"/>
      <c r="I16" s="2" t="n"/>
      <c r="J16" s="2" t="n"/>
      <c r="K16" s="36" t="inlineStr">
        <is>
          <t>2) Rethink marketing channels in the United Kingdom to reduce costs and enable a more efficient ROI.</t>
        </is>
      </c>
      <c r="M16" s="31" t="n"/>
      <c r="N16" s="2" t="n"/>
    </row>
    <row r="17" ht="19.5" customHeight="1" s="26">
      <c r="A17" s="2" t="n"/>
      <c r="B17" s="2" t="n"/>
      <c r="C17" s="2" t="n"/>
      <c r="D17" s="2" t="n"/>
      <c r="E17" s="2" t="n"/>
      <c r="F17" s="2" t="n"/>
      <c r="G17" s="2" t="n"/>
      <c r="H17" s="2" t="n"/>
      <c r="I17" s="2" t="n"/>
      <c r="J17" s="2" t="n"/>
      <c r="K17" s="39" t="n"/>
      <c r="L17" s="37" t="n"/>
      <c r="M17" s="38" t="n"/>
      <c r="N17" s="2" t="n"/>
    </row>
    <row r="18">
      <c r="A18" s="2" t="n"/>
      <c r="B18" s="2" t="n"/>
      <c r="C18" s="2" t="n"/>
      <c r="D18" s="2" t="n"/>
      <c r="E18" s="2" t="n"/>
      <c r="F18" s="2" t="n"/>
      <c r="G18" s="2" t="n"/>
      <c r="H18" s="2" t="n"/>
      <c r="I18" s="2" t="n"/>
      <c r="J18" s="2" t="n"/>
      <c r="K18" s="2" t="n"/>
      <c r="L18" s="2" t="n"/>
      <c r="M18" s="2" t="n"/>
      <c r="N18" s="2" t="n"/>
    </row>
  </sheetData>
  <mergeCells count="13">
    <mergeCell ref="B12:I12"/>
    <mergeCell ref="B13:I13"/>
    <mergeCell ref="K2:M2"/>
    <mergeCell ref="B15:I15"/>
    <mergeCell ref="B11:I11"/>
    <mergeCell ref="K14:M15"/>
    <mergeCell ref="B10:I10"/>
    <mergeCell ref="K11:M12"/>
    <mergeCell ref="K9:M10"/>
    <mergeCell ref="B14:I14"/>
    <mergeCell ref="K4:M5"/>
    <mergeCell ref="K16:M17"/>
    <mergeCell ref="K7:M8"/>
  </mergeCells>
  <conditionalFormatting sqref="I3:I8">
    <cfRule type="colorScale" priority="1">
      <colorScale>
        <cfvo type="min"/>
        <cfvo type="max"/>
        <color rgb="FFFFFFFF"/>
        <color rgb="FF57BB8A"/>
      </colorScale>
    </cfRule>
  </conditionalFormatting>
  <conditionalFormatting sqref="H3:H8">
    <cfRule type="colorScale" priority="2">
      <colorScale>
        <cfvo type="min"/>
        <cfvo type="max"/>
        <color rgb="FFFFFFFF"/>
        <color rgb="FF57BB8A"/>
      </colorScale>
    </cfRule>
  </conditionalFormatting>
  <conditionalFormatting sqref="G3:G8">
    <cfRule type="colorScale" priority="3">
      <colorScale>
        <cfvo type="min"/>
        <cfvo type="max"/>
        <color rgb="FFFFFFFF"/>
        <color rgb="FF57BB8A"/>
      </colorScale>
    </cfRule>
  </conditionalFormatting>
  <conditionalFormatting sqref="F3:F8">
    <cfRule type="colorScale" priority="4">
      <colorScale>
        <cfvo type="min"/>
        <cfvo type="max"/>
        <color rgb="FFFFFFFF"/>
        <color rgb="FF57BB8A"/>
      </colorScale>
    </cfRule>
  </conditionalFormatting>
  <dataValidations count="2">
    <dataValidation sqref="B3:B8" showDropDown="0" showInputMessage="0" showErrorMessage="0" allowBlank="1" type="list">
      <formula1>"United States,Australia,United Kingdom,Germany,France,Canada"</formula1>
    </dataValidation>
    <dataValidation sqref="D3:I8" showDropDown="1" showInputMessage="0" showErrorMessage="0" allowBlank="1" type="custom">
      <formula1>AND(ISNUMBER(D3),(NOT(OR(NOT(ISERROR(DATEVALUE(D3))), AND(ISNUMBER(D3), LEFT(CELL("format", D3))="D")))))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2026-08-07T03:30:04Z</dcterms:created>
  <dcterms:modified xmlns:dcterms="http://purl.org/dc/terms/" xmlns:xsi="http://www.w3.org/2001/XMLSchema-instance" xsi:type="dcterms:W3CDTF">2026-08-07T03:30:04Z</dcterms:modified>
</cp:coreProperties>
</file>